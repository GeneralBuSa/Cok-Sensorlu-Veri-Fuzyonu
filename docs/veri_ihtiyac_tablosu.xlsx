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Cok-Sensorlu-Veri-Fuzyonu\docs\"/>
    </mc:Choice>
  </mc:AlternateContent>
  <xr:revisionPtr revIDLastSave="0" documentId="13_ncr:1_{951285A8-4F8E-475E-9F27-9F1C7198305C}" xr6:coauthVersionLast="47" xr6:coauthVersionMax="47" xr10:uidLastSave="{00000000-0000-0000-0000-000000000000}"/>
  <bookViews>
    <workbookView xWindow="3000" yWindow="3000" windowWidth="17280" windowHeight="8880" xr2:uid="{00000000-000D-0000-FFFF-FFFF00000000}"/>
  </bookViews>
  <sheets>
    <sheet name="Açıklama" sheetId="1" r:id="rId1"/>
    <sheet name="Veri İhtiyaçları" sheetId="2" r:id="rId2"/>
    <sheet name="Veri Setleri" sheetId="3" r:id="rId3"/>
    <sheet name="İletişim" sheetId="4" r:id="rId4"/>
  </sheets>
  <definedNames>
    <definedName name="_xlnm._FilterDatabase" localSheetId="1" hidden="1">'Veri İhtiyaçları'!$A$1:$K$26</definedName>
    <definedName name="_xlnm._FilterDatabase" localSheetId="2" hidden="1">'Veri Setleri'!$A$1:$L$21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5" i="4"/>
  <c r="G4" i="4"/>
  <c r="G3" i="4"/>
  <c r="G2" i="4"/>
  <c r="B26" i="1"/>
  <c r="B25" i="1"/>
  <c r="B24" i="1"/>
  <c r="B27" i="1" s="1"/>
</calcChain>
</file>

<file path=xl/sharedStrings.xml><?xml version="1.0" encoding="utf-8"?>
<sst xmlns="http://schemas.openxmlformats.org/spreadsheetml/2006/main" count="591" uniqueCount="355">
  <si>
    <t>Veri İhtiyaç Tablosu — Çok Sensörlü Veri Füzyonu</t>
  </si>
  <si>
    <t>Hazırlanma: 18 Ekim 2026. Ayrıntılı gerekçeler: docs/veri_seti_arastirmasi.md</t>
  </si>
  <si>
    <t>Sayfalar</t>
  </si>
  <si>
    <t>Veri İhtiyaçları</t>
  </si>
  <si>
    <t>Projenin her veri ihtiyacı, durumu, karşılayan veri seti ve eksikse nasıl bulunabileceği.</t>
  </si>
  <si>
    <t>Veri Setleri</t>
  </si>
  <si>
    <t>Kullanılacak veri setleri, boyutları, erişimleri ve bilgisayarda inecekleri klasör.</t>
  </si>
  <si>
    <t>İletişim</t>
  </si>
  <si>
    <t>Yazarlara gönderilen mailler. Gönderim tarihi girilince hatırlatma tarihi (+14 gün) kendiliğinden hesaplanır.</t>
  </si>
  <si>
    <t>Durum değerleri</t>
  </si>
  <si>
    <t>Mevcut</t>
  </si>
  <si>
    <t>İhtiyacı karşılayan açık bir veri var.</t>
  </si>
  <si>
    <t>Kısmen</t>
  </si>
  <si>
    <t>Veri var ama eksik (ölçek, tek örnek, yaklaşık referans vb.) ya da talep/mail bekliyor.</t>
  </si>
  <si>
    <t>X</t>
  </si>
  <si>
    <t>Açık bir kaynak bulunamadı. Son sütunda nasıl bulunabileceği yazıyor.</t>
  </si>
  <si>
    <t>Kanıt düzeyleri</t>
  </si>
  <si>
    <t>1</t>
  </si>
  <si>
    <t>Gerçek veri, bağımsız yer gerçeği.</t>
  </si>
  <si>
    <t>2</t>
  </si>
  <si>
    <t>Gerçek veri, yaklaşık referans (ör. hedefin kendi AIS/ADS-B bildirimi).</t>
  </si>
  <si>
    <t>3</t>
  </si>
  <si>
    <t>Ölçüme dayalı simülasyon (parametreler yayımlanmış ölçümlerden).</t>
  </si>
  <si>
    <t>4</t>
  </si>
  <si>
    <t>Saf simülasyon (parametreler varsayım).</t>
  </si>
  <si>
    <t>Düzenlenecek hücreler</t>
  </si>
  <si>
    <t>Mavi yazılı hücreler elle girilen değerlerdir: Durum sütunları ve İletişim sayfasındaki gönderim tarihleri.</t>
  </si>
  <si>
    <t>Özet</t>
  </si>
  <si>
    <t>Durum</t>
  </si>
  <si>
    <t>İhtiyaç sayısı</t>
  </si>
  <si>
    <t>Toplam</t>
  </si>
  <si>
    <t>#</t>
  </si>
  <si>
    <t>Kategori</t>
  </si>
  <si>
    <t>İhtiyaç (ne verisi lazım)</t>
  </si>
  <si>
    <t>Projede nerede</t>
  </si>
  <si>
    <t>Şu anki değer (simülasyon)</t>
  </si>
  <si>
    <t>Veri seti</t>
  </si>
  <si>
    <t>Link</t>
  </si>
  <si>
    <t>Erişim</t>
  </si>
  <si>
    <t>Kanıt düzeyi</t>
  </si>
  <si>
    <t>Eksikse nasıl bulunabilir / sonraki adım</t>
  </si>
  <si>
    <t>KALIBRASYON İÇİN</t>
  </si>
  <si>
    <t>K1</t>
  </si>
  <si>
    <t>Kalibrasyon</t>
  </si>
  <si>
    <t>Hedeflerin gerçek hızları (İHA, araç, insan)</t>
  </si>
  <si>
    <t>src/saha.py</t>
  </si>
  <si>
    <t>İHA 22/18, araç 10, insan grubu 1.5 m/s</t>
  </si>
  <si>
    <t>CUAS (İHA, insan)
DRaT (araç)
Moussaïd ve ark. 2010 (yaya grupları)</t>
  </si>
  <si>
    <t>https://github.com/nrc-cnrc/CUAS-sensing-dataset
https://zenodo.org/records/20171110
https://doi.org/10.1371/journal.pone.0010047</t>
  </si>
  <si>
    <t>Açık</t>
  </si>
  <si>
    <t>Bulgu: yaya grubu ~1.1-1.2 m/s yürüyor; simülasyondaki 1.5 m/s fazla.</t>
  </si>
  <si>
    <t>K2</t>
  </si>
  <si>
    <t>Hedeflerin ivmesi ve dönüş hızı</t>
  </si>
  <si>
    <t>src/kalman.py (ivme σ, ω σ), IMM geçiş matrisi</t>
  </si>
  <si>
    <t>ivme σ = 1 m/s², ω σ = 0.3 rad/s, TPM 0.90/0.10</t>
  </si>
  <si>
    <t>CUAS (zaman damgalı İHA/kamyon izleri)
DRaT (araç)
ETH/UCY (yaya yörüngeleri)</t>
  </si>
  <si>
    <t>https://github.com/nrc-cnrc/CUAS-sensing-dataset
https://zenodo.org/records/20171110
https://service.tib.eu/ldmservice/dataset/eth-and-ucy-datasets</t>
  </si>
  <si>
    <t>—</t>
  </si>
  <si>
    <t>K3</t>
  </si>
  <si>
    <t>Radarın tespit olasılığı ve ölçüm hatası</t>
  </si>
  <si>
    <t>src/sensorler.py</t>
  </si>
  <si>
    <t>%90 tespit, 12 m + 2 m/km</t>
  </si>
  <si>
    <t>Autoferry makalesi (Tablo 4-5, 10) — yalnızca kıyas</t>
  </si>
  <si>
    <t>https://doi.org/10.1016/j.oceaneng.2022.111168</t>
  </si>
  <si>
    <t>3-4</t>
  </si>
  <si>
    <t>km menzilli gözetleme radarı verisi X. Aranabilir: üretici veri sayfaları, radar literatürü (menzile bağlı hata modelleri).</t>
  </si>
  <si>
    <t>K4</t>
  </si>
  <si>
    <t>Kameranın tespit olasılığı ve ölçüm hatası</t>
  </si>
  <si>
    <t>%95 tespit, 3 m + 4 m/km</t>
  </si>
  <si>
    <t>Johnson kriterleri (menzil + olasılık modeli)
Autoferry makalesi (EO/IR) — yalnızca kıyas</t>
  </si>
  <si>
    <t>https://en.wikipedia.org/wiki/Johnson%27s_criteria
https://doi.org/10.1016/j.oceaneng.2022.111168</t>
  </si>
  <si>
    <t>km ölçeğinde kamera ölçümü X. Model: Johnson kriterleri; kamera modeli (çözünürlük, görüş açısı) seçilmeli. Üretici DRI mesafeleriyle karşılaştırılabilir.</t>
  </si>
  <si>
    <t>K5</t>
  </si>
  <si>
    <t>Radarın yanlış alarmları ve sahte iz ömrü</t>
  </si>
  <si>
    <t>src/sensorler.py, src/fuzyon.py (onay/silme eşikleri)</t>
  </si>
  <si>
    <t>0.5 / tarama; 3 vuruş; 2.5 s / 6 s</t>
  </si>
  <si>
    <t>CUAS Demo-4 (~8.000 iz)</t>
  </si>
  <si>
    <t>https://github.com/nrc-cnrc/CUAS-sensing-dataset</t>
  </si>
  <si>
    <t>Not: iz seviyesinde, ham tespit seviyesinde değil.</t>
  </si>
  <si>
    <t>K6</t>
  </si>
  <si>
    <t>Sisin kameraya etkisi</t>
  </si>
  <si>
    <t>Sis senaryosu (src/sensorler.py)</t>
  </si>
  <si>
    <t>menzil ×0.65, gürültü ×3, tespit %50</t>
  </si>
  <si>
    <t>CEREMA sis ölçümleri (Bijelic 2018)
RADIATE (nitel)</t>
  </si>
  <si>
    <t>https://arxiv.org/abs/1912.03238
https://arxiv.org/abs/2010.09076</t>
  </si>
  <si>
    <t>Ölçümler 60 m görüşe kadar; km ölçeği ekstrapolasyon. Görüş mesafesine bağlı model (Koschmieder) kullanılır.</t>
  </si>
  <si>
    <t>K7</t>
  </si>
  <si>
    <t>Karıştırmanın radara etkisi</t>
  </si>
  <si>
    <t>Karıştırma senaryosu (src/sensorler.py)</t>
  </si>
  <si>
    <t>gürültü ×4, tespit %70, 8 yanlış alarm</t>
  </si>
  <si>
    <t>NAWCWD EW el kitabı (J/S modeli)
JKU Linz (girişim)
COSMOS A (açık), B ve E (talep)</t>
  </si>
  <si>
    <t>https://rfcafe.com/references/electrical/ew-radar-handbook/support-jamming.htm
https://zenodo.org/records/21933926
https://edata.bham.ac.uk/777/</t>
  </si>
  <si>
    <t>Açık / Talep</t>
  </si>
  <si>
    <t>Kasıtlı karıştırma verisi X (askerî). Model: mesafeye ve yöne bağlı J/S. Karar: gürültü mü aldatıcı mı karıştırıcı? COSMOS B/E talep formu gönderilecek.</t>
  </si>
  <si>
    <t>K8</t>
  </si>
  <si>
    <t>Konum bildiriminin mesaj aralığı, gecikmesi ve kaybı</t>
  </si>
  <si>
    <t>0.5 Hz, 1.5 s gecikme, %98</t>
  </si>
  <si>
    <t>ITU-R M.1371 (AIS), RTCA DO-260B (ADS-B)
LocaRDS
Fukuda ve ark. 2024</t>
  </si>
  <si>
    <t>https://zenodo.org/records/4302249
Fukuda ve ark. (2024), J. Navigation 77(5-6), 677-694</t>
  </si>
  <si>
    <t>Dost birlik konum bildirim sistemi verisi X (askerî). Standart değerleri standardın kendisinden doğrulanmalı.</t>
  </si>
  <si>
    <t>K9</t>
  </si>
  <si>
    <t>Konum bildirimindeki sabit sapma</t>
  </si>
  <si>
    <t>src/sensorler.py, bias kestirimi (src/fuzyon.py)</t>
  </si>
  <si>
    <t>(35, -20) m</t>
  </si>
  <si>
    <t>LocaRDS (ADS-B ve MLAT farkı)
MAPFusion (AIS ve radar farkı)</t>
  </si>
  <si>
    <t>https://zenodo.org/records/4302249
https://arxiv.org/abs/2607.03915</t>
  </si>
  <si>
    <t>Açık / Mail bekleniyor</t>
  </si>
  <si>
    <t>2-3</t>
  </si>
  <si>
    <t>MAPFusion için 18.10.2026'da mail gönderildi.</t>
  </si>
  <si>
    <t>K10</t>
  </si>
  <si>
    <t>Sensör kesintilerinin süresi ve sıklığı</t>
  </si>
  <si>
    <t>Sensör kaybı senaryosu</t>
  </si>
  <si>
    <t>radar 100-170 s, kamera 150-230 s, konum 200-260 s</t>
  </si>
  <si>
    <t>Aranabilir: AERPAW'daki gerçek RF sensör kopmaları (kısmen); haberleşme/sensör güvenilirlik literatürü. Bulunamazsa senaryo olarak kalır.</t>
  </si>
  <si>
    <t>K11</t>
  </si>
  <si>
    <t>Sensör güveni (NIS) eşiği</t>
  </si>
  <si>
    <t>src/fuzyon.py (NIS_TOLERANS)</t>
  </si>
  <si>
    <t>CUAS (radarın ki-kare değerleri)</t>
  </si>
  <si>
    <t>Not: radarın kendi filtresinin değerleri; bizim filtremizin değil.</t>
  </si>
  <si>
    <t>DOĞRULAMA İÇİN</t>
  </si>
  <si>
    <t>D1</t>
  </si>
  <si>
    <t>Doğrulama</t>
  </si>
  <si>
    <t>Aynı hedefleri gören birden çok farklı türde gerçek sensör</t>
  </si>
  <si>
    <t>Bütün füzyon hattı</t>
  </si>
  <si>
    <t>Autoferry (radar, lidar, EO, IR)
AERPAW (radar, RF)</t>
  </si>
  <si>
    <t>https://github.com/Autoferry/sensor_fusion_dataset
https://datadryad.org/dataset/doi:10.5061/dryad.7d7wm3898</t>
  </si>
  <si>
    <t>D2</t>
  </si>
  <si>
    <t>Hedeften bağımsız yer gerçeği</t>
  </si>
  <si>
    <t>src/degerlendirme.py (RMSE, GOSPA)</t>
  </si>
  <si>
    <t>Autoferry (hedeflerde GNSS)
AERPAW (İHA'da RTK GNSS)</t>
  </si>
  <si>
    <t>Autoferry yer gerçeğinin doğruluğu ve zaman eşlemesi bilinmiyor: 18.10.2026'da Vasstein'a mail gönderildi.</t>
  </si>
  <si>
    <t>D3</t>
  </si>
  <si>
    <t>Aynı anda birden çok hedef</t>
  </si>
  <si>
    <t>src/iliskilendirme.py, ID switch</t>
  </si>
  <si>
    <t>Autoferry (2-3 hedef)
DRaT (5.278 araç izi)</t>
  </si>
  <si>
    <t>https://github.com/Autoferry/sensor_fusion_dataset
https://zenodo.org/records/20171110</t>
  </si>
  <si>
    <t>D4</t>
  </si>
  <si>
    <t>Manevra yapan gerçek hedef</t>
  </si>
  <si>
    <t>IMM (src/kalman.py)</t>
  </si>
  <si>
    <t>AERPAW (gerçek İHA uçuşları)</t>
  </si>
  <si>
    <t>https://datadryad.org/dataset/doi:10.5061/dryad.7d7wm3898</t>
  </si>
  <si>
    <t>D5</t>
  </si>
  <si>
    <t>Gerçek zaman damgalı, asenkron sensörler</t>
  </si>
  <si>
    <t>Zaman senkronizasyonu (src/fuzyon.py)</t>
  </si>
  <si>
    <t>Autoferry
AERPAW</t>
  </si>
  <si>
    <t>D6</t>
  </si>
  <si>
    <t>Gerçekten bozulmuş bir sensör</t>
  </si>
  <si>
    <t>Sensör güveni (NIS)</t>
  </si>
  <si>
    <t>AERPAW Opt1 (bozuk RF koşusu)
Autoferry 2. ortam kameraları
COSMOS (girişim)</t>
  </si>
  <si>
    <t>https://datadryad.org/dataset/doi:10.5061/dryad.7d7wm3898
https://github.com/Autoferry/sensor_fusion_dataset
https://edata.bham.ac.uk/777/</t>
  </si>
  <si>
    <t>Az örnek. COSMOS B/E gelirse girişimli radar örnekleri artar.</t>
  </si>
  <si>
    <t>D7</t>
  </si>
  <si>
    <t>Gerçek sensör kesintisi</t>
  </si>
  <si>
    <t>Sensör kaybı</t>
  </si>
  <si>
    <t>Autoferry (gerçek ölçümler silinerek)
AERPAW (gerçek kopmalar)</t>
  </si>
  <si>
    <t>D8</t>
  </si>
  <si>
    <t>Gerçek konum bildirimi + aynı hedefleri gören bağımsız sensör</t>
  </si>
  <si>
    <t>Bias düzeltme, konum bildirimi füzyonu</t>
  </si>
  <si>
    <t>LocaRDS (ADS-B + MLAT)
MAPFusion (AIS + radar + kamera)</t>
  </si>
  <si>
    <t>MAPFusion için 18.10.2026'da Prof. Liu'ya mail gönderildi.</t>
  </si>
  <si>
    <t>D9</t>
  </si>
  <si>
    <t>Dost/diğer etiketi</t>
  </si>
  <si>
    <t>Kimlik, etiket doğruluğu</t>
  </si>
  <si>
    <t>Askerî veri açık değil. MAPFusion gelirse kısmen: AIS yayını olan / olmayan gemiler, elle eşleştirme etiketleriyle.</t>
  </si>
  <si>
    <t>D10</t>
  </si>
  <si>
    <t>Kara hedefleri (araç, insan grubu)</t>
  </si>
  <si>
    <t>Sahadaki kara hedefleri</t>
  </si>
  <si>
    <t>DRaT (araç, tek radar)
7V-Scanario (araç, RTK)</t>
  </si>
  <si>
    <t>https://zenodo.org/records/20171110
https://github.com/UniBwTAS/7V-Scanario</t>
  </si>
  <si>
    <t>Açık / Lisans talep</t>
  </si>
  <si>
    <t>İnsan grubu için çok sensörlü veri X. Aranabilir: yaya izleme veri setleri (radar + kamera).</t>
  </si>
  <si>
    <t>D11</t>
  </si>
  <si>
    <t>km ölçeği</t>
  </si>
  <si>
    <t>Sahanın ölçeği (10 × 10 km)</t>
  </si>
  <si>
    <t>LocaRDS (hava)
HAXR (deniz)</t>
  </si>
  <si>
    <t>https://zenodo.org/records/4302249
https://zenodo.org/records/19824555</t>
  </si>
  <si>
    <t>km ölçeğinde, sabit sensörlü, çok sensörlü kara/hava sahası X.</t>
  </si>
  <si>
    <t>D12</t>
  </si>
  <si>
    <t>Kötü hava ve karıştırma altında gerçek izleme verisi</t>
  </si>
  <si>
    <t>Sis ve karıştırma senaryoları</t>
  </si>
  <si>
    <t>COSMOS (girişim + GPS)
RADIATE, K-Radar (sis, ham)</t>
  </si>
  <si>
    <t>https://edata.bham.ac.uk/777/
https://arxiv.org/abs/2010.09076
https://arxiv.org/abs/2206.08171</t>
  </si>
  <si>
    <t>1-3</t>
  </si>
  <si>
    <t>Sisli havada bağımsız yer gerçeği olan izleme verisi X. Kasıtlı karıştırma X.</t>
  </si>
  <si>
    <t>Ne verisi</t>
  </si>
  <si>
    <t>Yer gerçeği</t>
  </si>
  <si>
    <t>Lisans</t>
  </si>
  <si>
    <t>Boyut</t>
  </si>
  <si>
    <t>Öncelik</t>
  </si>
  <si>
    <t>Aşama</t>
  </si>
  <si>
    <t>Karşıladığı ihtiyaçlar</t>
  </si>
  <si>
    <t>Bilgisayarda klasör</t>
  </si>
  <si>
    <t>Autoferry</t>
  </si>
  <si>
    <t>Feribot sensörlerinin tespitleri: radar ve lidar (x, y), EO ve IR kamera (açı)</t>
  </si>
  <si>
    <t>Hedef teknelerde GNSS (bir kısmı PPK)</t>
  </si>
  <si>
    <t>CC0</t>
  </si>
  <si>
    <t>~6 MB</t>
  </si>
  <si>
    <t>İndirilecek</t>
  </si>
  <si>
    <t>2 (gerçek veri testi)</t>
  </si>
  <si>
    <t>D1, D2, D3, D5, D6, D7</t>
  </si>
  <si>
    <t>veri/autoferry</t>
  </si>
  <si>
    <t>https://github.com/Autoferry/sensor_fusion_dataset</t>
  </si>
  <si>
    <t>CUAS (NRC Kanada)</t>
  </si>
  <si>
    <t>Radar izleri: İHA, kuş, insan, araç; 10 Hz konum ve hız</t>
  </si>
  <si>
    <t>Sınıf etiketi (konum yok)</t>
  </si>
  <si>
    <t>CC BY 4.0</t>
  </si>
  <si>
    <t>Belirtilmemiş</t>
  </si>
  <si>
    <t>1 (kalibrasyon)</t>
  </si>
  <si>
    <t>K1, K2, K5, K11</t>
  </si>
  <si>
    <t>veri/cuas</t>
  </si>
  <si>
    <t>AERPAW AADM</t>
  </si>
  <si>
    <t>İHA uçuşları: Fortem R20 radar izleri, Keysight RF konumları, İHA telemetrisi</t>
  </si>
  <si>
    <t>İHA'da RTK GNSS (~1 Hz)</t>
  </si>
  <si>
    <t>7.7 GB</t>
  </si>
  <si>
    <t>3 (gerçek İHA testi)</t>
  </si>
  <si>
    <t>D1, D2, D4, D5, D6, D7</t>
  </si>
  <si>
    <t>veri/aerpaw</t>
  </si>
  <si>
    <t>COSMOS A (777)</t>
  </si>
  <si>
    <t>Araç radarı girişimi: ham radar, video, lidar, GPS; 1b, 2g, 3d (girişimli)</t>
  </si>
  <si>
    <t>İki araçta GPS/IMU</t>
  </si>
  <si>
    <t>9 GB</t>
  </si>
  <si>
    <t>İndiriliyor</t>
  </si>
  <si>
    <t>1 (karıştırma kalibrasyonu)</t>
  </si>
  <si>
    <t>K7, D6, D12</t>
  </si>
  <si>
    <t>veri/cosmos/A_777</t>
  </si>
  <si>
    <t>https://edata.bham.ac.uk/777/</t>
  </si>
  <si>
    <t>COSMOS B (785)</t>
  </si>
  <si>
    <t>Senaryo 2d: sabit kurban radar, yaklaşan girişim aracı; referans + girişimli</t>
  </si>
  <si>
    <t>6 GB</t>
  </si>
  <si>
    <t>Talep formu</t>
  </si>
  <si>
    <t>Talep edilecek</t>
  </si>
  <si>
    <t>veri/cosmos/B_785</t>
  </si>
  <si>
    <t>https://edata.bham.ac.uk/785/</t>
  </si>
  <si>
    <t>COSMOS E (788)</t>
  </si>
  <si>
    <t>Senaryo 3d: kavşak, sabit kurban radar, hareketli girişim aracı</t>
  </si>
  <si>
    <t>7 GB</t>
  </si>
  <si>
    <t>veri/cosmos/E_788</t>
  </si>
  <si>
    <t>https://edata.bham.ac.uk/788/</t>
  </si>
  <si>
    <t>JKU Linz radar girişimi</t>
  </si>
  <si>
    <t>İki istasyonlu 77 GHz radarın ham ADC verisi; girişimli ve girişimsiz</t>
  </si>
  <si>
    <t>Yok</t>
  </si>
  <si>
    <t>2.6 GB</t>
  </si>
  <si>
    <t>veri/jku_linz</t>
  </si>
  <si>
    <t>https://zenodo.org/records/21933926</t>
  </si>
  <si>
    <t>DRaT</t>
  </si>
  <si>
    <t>Otoyol trafik radarı nesne çıktısı, 8 Hz, 5.278 araç izi</t>
  </si>
  <si>
    <t>Drone videosundan izler</t>
  </si>
  <si>
    <t>91 MB</t>
  </si>
  <si>
    <t>1 ve 4</t>
  </si>
  <si>
    <t>K1, K2, D3, D10</t>
  </si>
  <si>
    <t>veri/drat</t>
  </si>
  <si>
    <t>https://zenodo.org/records/20171110</t>
  </si>
  <si>
    <t>LocaRDS</t>
  </si>
  <si>
    <t>Uçak ADS-B yayınları, 323 alıcı; MLAT için alıcı ölçümleri</t>
  </si>
  <si>
    <t>Uçağın kendi ADS-B'si (yaklaşık)</t>
  </si>
  <si>
    <t>CC BY-SA 4.0</t>
  </si>
  <si>
    <t>3.6 GB</t>
  </si>
  <si>
    <t>İsteğe bağlı</t>
  </si>
  <si>
    <t>4 (isteğe bağlı)</t>
  </si>
  <si>
    <t>K8, K9, D8, D11</t>
  </si>
  <si>
    <t>veri/locards</t>
  </si>
  <si>
    <t>https://zenodo.org/records/4302249</t>
  </si>
  <si>
    <t>HAXR (DLR)</t>
  </si>
  <si>
    <t>13 istasyonun ham X-bant radar görüntüsü + AIS, Hamburg limanı</t>
  </si>
  <si>
    <t>AIS (yaklaşık)</t>
  </si>
  <si>
    <t>5.4 GB</t>
  </si>
  <si>
    <t>K9, D11</t>
  </si>
  <si>
    <t>veri/haxr</t>
  </si>
  <si>
    <t>https://zenodo.org/records/19824555</t>
  </si>
  <si>
    <t>7V-Scanario</t>
  </si>
  <si>
    <t>Test aracında radar, kamera, lidar; 7 hedef araç</t>
  </si>
  <si>
    <t>Hedeflerde RTK-GNSS/INS (~1 cm)</t>
  </si>
  <si>
    <t>Talep üzerine</t>
  </si>
  <si>
    <t>Açık / lisans talep</t>
  </si>
  <si>
    <t>veri/7v_scanario</t>
  </si>
  <si>
    <t>https://github.com/UniBwTAS/7V-Scanario</t>
  </si>
  <si>
    <t>MAPFusion (NavEYE)</t>
  </si>
  <si>
    <t>Gemide AIS, ARPA radar izleri, video, GNSS, cayro; eşleştirme etiketleri</t>
  </si>
  <si>
    <t>Tek gemide GoPro GPS (3-5 m)</t>
  </si>
  <si>
    <t>Yazardan istendi</t>
  </si>
  <si>
    <t>Mail bekleniyor</t>
  </si>
  <si>
    <t>2-3 (gelirse)</t>
  </si>
  <si>
    <t>K9, D8, D9</t>
  </si>
  <si>
    <t>veri/mapfusion</t>
  </si>
  <si>
    <t>https://arxiv.org/abs/2607.03915</t>
  </si>
  <si>
    <t>CEREMA sis ölçümleri</t>
  </si>
  <si>
    <t>Makale: sis odasında kamera ölçümleri ve saçılma modeli</t>
  </si>
  <si>
    <t>Makale</t>
  </si>
  <si>
    <t>Okunacak</t>
  </si>
  <si>
    <t>1 (sis kalibrasyonu)</t>
  </si>
  <si>
    <t>veri/kaynaklar/</t>
  </si>
  <si>
    <t>https://arxiv.org/abs/1912.03238</t>
  </si>
  <si>
    <t>RADIATE</t>
  </si>
  <si>
    <t>Makale: kötü havada radar, kamera, lidar (yalnızca kaynak)</t>
  </si>
  <si>
    <t>Elle çizilmiş kutular</t>
  </si>
  <si>
    <t>Okundu</t>
  </si>
  <si>
    <t>1 (kaynak)</t>
  </si>
  <si>
    <t>K6, D12</t>
  </si>
  <si>
    <t>https://arxiv.org/abs/2010.09076</t>
  </si>
  <si>
    <t>ETH/UCY yaya yörüngeleri</t>
  </si>
  <si>
    <t>5 sahne, 1.536 yaya; metre cinsinden konumlar, 2.5 kare/s</t>
  </si>
  <si>
    <t>Videodan çıkarılmış yörüngeler</t>
  </si>
  <si>
    <t>Yalnızca araştırma</t>
  </si>
  <si>
    <t>Küçük</t>
  </si>
  <si>
    <t>veri/eth_ucy</t>
  </si>
  <si>
    <t>https://service.tib.eu/ldmservice/dataset/eth-and-ucy-datasets</t>
  </si>
  <si>
    <t>Moussaïd ve ark. 2010</t>
  </si>
  <si>
    <t>Makale: 1.353 yaya grubunun yürüme hızı (grup büyüklüğüne göre)</t>
  </si>
  <si>
    <t>Makale (açık erişim)</t>
  </si>
  <si>
    <t>https://doi.org/10.1371/journal.pone.0010047</t>
  </si>
  <si>
    <t>Johnson kriterleri</t>
  </si>
  <si>
    <t>Kamera tespit/tanıma/teşhis menzili ve olasılık modeli (STANAG 4347'nin temeli)</t>
  </si>
  <si>
    <t>Literatür</t>
  </si>
  <si>
    <t>https://en.wikipedia.org/wiki/Johnson%27s_criteria</t>
  </si>
  <si>
    <t>NAWCWD EW el kitabı</t>
  </si>
  <si>
    <t>ABD Donanması: karıştırma/sinyal oranı (J/S) denklemleri</t>
  </si>
  <si>
    <t>Açık erişim</t>
  </si>
  <si>
    <t>https://rfcafe.com/references/electrical/ew-radar-handbook/support-jamming.htm</t>
  </si>
  <si>
    <t>Fukuda ve ark. 2024</t>
  </si>
  <si>
    <t>Makale: AIS konum hatası ve yayın sıklığı</t>
  </si>
  <si>
    <t>Kütüphane</t>
  </si>
  <si>
    <t>K8, K9</t>
  </si>
  <si>
    <t>AIS / ADS-B standartları</t>
  </si>
  <si>
    <t>ITU-R M.1371, RTCA DO-260B: mesaj aralıkları</t>
  </si>
  <si>
    <t>Standart</t>
  </si>
  <si>
    <t>Açık / kütüphane</t>
  </si>
  <si>
    <t>Kontrol edilecek</t>
  </si>
  <si>
    <t>Klasörler proje klasörüne göredir (ör. veri/autoferry). veri/ klasörü git'e eklenmez; açıklaması veri/README.md içinde.</t>
  </si>
  <si>
    <t>Konu</t>
  </si>
  <si>
    <t>Kime</t>
  </si>
  <si>
    <t>E-posta</t>
  </si>
  <si>
    <t>Ne istedik</t>
  </si>
  <si>
    <t>Gönderim tarihi</t>
  </si>
  <si>
    <t>Hatırlatma tarihi</t>
  </si>
  <si>
    <t>Not</t>
  </si>
  <si>
    <t>Kjetil Vasstein (CC: Brekke, Helgesen)</t>
  </si>
  <si>
    <t>kjetil.vasstein@ntnu.no</t>
  </si>
  <si>
    <t>Yer gerçeği: referans noktası, anten konumları, zaman eşlemesi, doğruluk</t>
  </si>
  <si>
    <t>Gönderildi</t>
  </si>
  <si>
    <t>Helgesen'in adresi geri dönebilir (mezun).</t>
  </si>
  <si>
    <t>MAPFusion</t>
  </si>
  <si>
    <t>Prof. Ryan Wen Liu</t>
  </si>
  <si>
    <t>wenliu@whut.edu.cn</t>
  </si>
  <si>
    <t>AIS, ARPA radar izleri, GNSS/cayro, eşleştirme etiketleri, Zhoudou 16 GPS; ham video hariç</t>
  </si>
  <si>
    <t>Cevap gelme olasılığı en düşük.</t>
  </si>
  <si>
    <t>Request a copy formu</t>
  </si>
  <si>
    <t>Sub-Dataset B (senaryo 2d)</t>
  </si>
  <si>
    <t>Bekliyor</t>
  </si>
  <si>
    <t>777'nin içeriği kontrol edildikten sonra gönderilecek.</t>
  </si>
  <si>
    <t>Sub-Dataset E (senaryo 3d, referans koşusu)</t>
  </si>
  <si>
    <t>COSMOS</t>
  </si>
  <si>
    <t>Prof. Marina Gashinova (CC: Pirkani)</t>
  </si>
  <si>
    <t>M.S.Gashinova@bham.ac.uk</t>
  </si>
  <si>
    <t>Talebi destekleme; GPS doğruluğu, işlenmiş tespit var mı</t>
  </si>
  <si>
    <t>Formlardan sonra gönderilecek.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</si>
</sst>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11" x14ac:knownFonts="1">
    <font>
      <sz val="11"/>
      <color theme="1"/>
      <name val="Calibri"/>
      <family val="2"/>
      <scheme val="minor"/>
    </font>
    <font>
      <b/>
      <sz val="14"/>
      <color rgb="FF1F3A60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b/>
      <sz val="12"/>
      <color rgb="FF1F3A60"/>
      <name val="Arial"/>
    </font>
    <font>
      <b/>
      <sz val="10"/>
      <color rgb="FFFFFFFF"/>
      <name val="Arial"/>
    </font>
    <font>
      <u/>
      <sz val="10"/>
      <color rgb="FF1F5FA8"/>
      <name val="Arial"/>
    </font>
    <font>
      <b/>
      <sz val="10"/>
      <color rgb="FF0000FF"/>
      <name val="Arial"/>
    </font>
    <font>
      <sz val="10"/>
      <color rgb="FF0000FF"/>
      <name val="Arial"/>
    </font>
    <font>
      <i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D9F2DC"/>
      </patternFill>
    </fill>
    <fill>
      <patternFill patternType="solid">
        <fgColor rgb="FFFFF4C2"/>
      </patternFill>
    </fill>
    <fill>
      <patternFill patternType="solid">
        <fgColor rgb="FFF8D7DA"/>
      </patternFill>
    </fill>
    <fill>
      <patternFill patternType="solid">
        <fgColor rgb="FF1F3A60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B9C4D4"/>
      </left>
      <right style="thin">
        <color rgb="FFB9C4D4"/>
      </right>
      <top style="thin">
        <color rgb="FFB9C4D4"/>
      </top>
      <bottom style="thin">
        <color rgb="FFB9C4D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5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6" fillId="5" borderId="1" xfId="0" applyFont="1" applyFill="1" applyBorder="1" applyAlignment="1">
      <alignment vertical="center" wrapText="1"/>
    </xf>
    <xf numFmtId="0" fontId="3" fillId="6" borderId="1" xfId="0" applyFont="1" applyFill="1" applyBorder="1"/>
    <xf numFmtId="0" fontId="0" fillId="6" borderId="1" xfId="0" applyFill="1" applyBorder="1"/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165" fontId="9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8D7DA"/>
        </patternFill>
      </fill>
    </dxf>
    <dxf>
      <fill>
        <patternFill patternType="solid">
          <fgColor rgb="FFFFF4C2"/>
        </patternFill>
      </fill>
    </dxf>
    <dxf>
      <fill>
        <patternFill patternType="solid">
          <fgColor rgb="FFD9F2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enodo.org/records/4302249" TargetMode="External"/><Relationship Id="rId13" Type="http://schemas.openxmlformats.org/officeDocument/2006/relationships/hyperlink" Target="https://github.com/Autoferry/sensor_fusion_dataset" TargetMode="External"/><Relationship Id="rId18" Type="http://schemas.openxmlformats.org/officeDocument/2006/relationships/hyperlink" Target="https://zenodo.org/records/4302249" TargetMode="External"/><Relationship Id="rId3" Type="http://schemas.openxmlformats.org/officeDocument/2006/relationships/hyperlink" Target="https://doi.org/10.1016/j.oceaneng.2022.111168" TargetMode="External"/><Relationship Id="rId21" Type="http://schemas.openxmlformats.org/officeDocument/2006/relationships/hyperlink" Target="https://edata.bham.ac.uk/777/" TargetMode="External"/><Relationship Id="rId7" Type="http://schemas.openxmlformats.org/officeDocument/2006/relationships/hyperlink" Target="https://rfcafe.com/references/electrical/ew-radar-handbook/support-jamming.htm" TargetMode="External"/><Relationship Id="rId12" Type="http://schemas.openxmlformats.org/officeDocument/2006/relationships/hyperlink" Target="https://github.com/Autoferry/sensor_fusion_dataset" TargetMode="External"/><Relationship Id="rId17" Type="http://schemas.openxmlformats.org/officeDocument/2006/relationships/hyperlink" Target="https://github.com/Autoferry/sensor_fusion_dataset" TargetMode="External"/><Relationship Id="rId2" Type="http://schemas.openxmlformats.org/officeDocument/2006/relationships/hyperlink" Target="https://github.com/nrc-cnrc/CUAS-sensing-dataset" TargetMode="External"/><Relationship Id="rId16" Type="http://schemas.openxmlformats.org/officeDocument/2006/relationships/hyperlink" Target="https://datadryad.org/dataset/doi:10.5061/dryad.7d7wm3898" TargetMode="External"/><Relationship Id="rId20" Type="http://schemas.openxmlformats.org/officeDocument/2006/relationships/hyperlink" Target="https://zenodo.org/records/4302249" TargetMode="External"/><Relationship Id="rId1" Type="http://schemas.openxmlformats.org/officeDocument/2006/relationships/hyperlink" Target="https://github.com/nrc-cnrc/CUAS-sensing-dataset" TargetMode="External"/><Relationship Id="rId6" Type="http://schemas.openxmlformats.org/officeDocument/2006/relationships/hyperlink" Target="https://arxiv.org/abs/1912.03238" TargetMode="External"/><Relationship Id="rId11" Type="http://schemas.openxmlformats.org/officeDocument/2006/relationships/hyperlink" Target="https://github.com/Autoferry/sensor_fusion_dataset" TargetMode="External"/><Relationship Id="rId5" Type="http://schemas.openxmlformats.org/officeDocument/2006/relationships/hyperlink" Target="https://github.com/nrc-cnrc/CUAS-sensing-dataset" TargetMode="External"/><Relationship Id="rId15" Type="http://schemas.openxmlformats.org/officeDocument/2006/relationships/hyperlink" Target="https://github.com/Autoferry/sensor_fusion_dataset" TargetMode="External"/><Relationship Id="rId10" Type="http://schemas.openxmlformats.org/officeDocument/2006/relationships/hyperlink" Target="https://github.com/nrc-cnrc/CUAS-sensing-dataset" TargetMode="External"/><Relationship Id="rId19" Type="http://schemas.openxmlformats.org/officeDocument/2006/relationships/hyperlink" Target="https://zenodo.org/records/20171110" TargetMode="External"/><Relationship Id="rId4" Type="http://schemas.openxmlformats.org/officeDocument/2006/relationships/hyperlink" Target="https://en.wikipedia.org/wiki/Johnson%27s_criteria" TargetMode="External"/><Relationship Id="rId9" Type="http://schemas.openxmlformats.org/officeDocument/2006/relationships/hyperlink" Target="https://zenodo.org/records/4302249" TargetMode="External"/><Relationship Id="rId14" Type="http://schemas.openxmlformats.org/officeDocument/2006/relationships/hyperlink" Target="https://datadryad.org/dataset/doi:10.5061/dryad.7d7wm389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zenodo.org/records/20171110" TargetMode="External"/><Relationship Id="rId13" Type="http://schemas.openxmlformats.org/officeDocument/2006/relationships/hyperlink" Target="https://arxiv.org/abs/1912.03238" TargetMode="External"/><Relationship Id="rId18" Type="http://schemas.openxmlformats.org/officeDocument/2006/relationships/hyperlink" Target="https://rfcafe.com/references/electrical/ew-radar-handbook/support-jamming.htm" TargetMode="External"/><Relationship Id="rId3" Type="http://schemas.openxmlformats.org/officeDocument/2006/relationships/hyperlink" Target="https://datadryad.org/dataset/doi:10.5061/dryad.7d7wm3898" TargetMode="External"/><Relationship Id="rId7" Type="http://schemas.openxmlformats.org/officeDocument/2006/relationships/hyperlink" Target="https://zenodo.org/records/21933926" TargetMode="External"/><Relationship Id="rId12" Type="http://schemas.openxmlformats.org/officeDocument/2006/relationships/hyperlink" Target="https://arxiv.org/abs/2607.03915" TargetMode="External"/><Relationship Id="rId17" Type="http://schemas.openxmlformats.org/officeDocument/2006/relationships/hyperlink" Target="https://en.wikipedia.org/wiki/Johnson%27s_criteria" TargetMode="External"/><Relationship Id="rId2" Type="http://schemas.openxmlformats.org/officeDocument/2006/relationships/hyperlink" Target="https://github.com/nrc-cnrc/CUAS-sensing-dataset" TargetMode="External"/><Relationship Id="rId16" Type="http://schemas.openxmlformats.org/officeDocument/2006/relationships/hyperlink" Target="https://doi.org/10.1371/journal.pone.0010047" TargetMode="External"/><Relationship Id="rId1" Type="http://schemas.openxmlformats.org/officeDocument/2006/relationships/hyperlink" Target="https://github.com/Autoferry/sensor_fusion_dataset" TargetMode="External"/><Relationship Id="rId6" Type="http://schemas.openxmlformats.org/officeDocument/2006/relationships/hyperlink" Target="https://edata.bham.ac.uk/788/" TargetMode="External"/><Relationship Id="rId11" Type="http://schemas.openxmlformats.org/officeDocument/2006/relationships/hyperlink" Target="https://github.com/UniBwTAS/7V-Scanario" TargetMode="External"/><Relationship Id="rId5" Type="http://schemas.openxmlformats.org/officeDocument/2006/relationships/hyperlink" Target="https://edata.bham.ac.uk/785/" TargetMode="External"/><Relationship Id="rId15" Type="http://schemas.openxmlformats.org/officeDocument/2006/relationships/hyperlink" Target="https://service.tib.eu/ldmservice/dataset/eth-and-ucy-datasets" TargetMode="External"/><Relationship Id="rId10" Type="http://schemas.openxmlformats.org/officeDocument/2006/relationships/hyperlink" Target="https://zenodo.org/records/19824555" TargetMode="External"/><Relationship Id="rId4" Type="http://schemas.openxmlformats.org/officeDocument/2006/relationships/hyperlink" Target="https://edata.bham.ac.uk/777/" TargetMode="External"/><Relationship Id="rId9" Type="http://schemas.openxmlformats.org/officeDocument/2006/relationships/hyperlink" Target="https://zenodo.org/records/4302249" TargetMode="External"/><Relationship Id="rId14" Type="http://schemas.openxmlformats.org/officeDocument/2006/relationships/hyperlink" Target="https://arxiv.org/abs/2010.09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/>
  </sheetViews>
  <sheetFormatPr defaultRowHeight="14.4" x14ac:dyDescent="0.3"/>
  <cols>
    <col min="1" max="1" width="30" customWidth="1"/>
    <col min="2" max="2" width="8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4" t="s">
        <v>4</v>
      </c>
    </row>
    <row r="6" spans="1:2" x14ac:dyDescent="0.3">
      <c r="A6" s="5" t="s">
        <v>5</v>
      </c>
      <c r="B6" s="4" t="s">
        <v>6</v>
      </c>
    </row>
    <row r="7" spans="1:2" ht="26.4" x14ac:dyDescent="0.3">
      <c r="A7" s="5" t="s">
        <v>7</v>
      </c>
      <c r="B7" s="4" t="s">
        <v>8</v>
      </c>
    </row>
    <row r="8" spans="1:2" x14ac:dyDescent="0.3">
      <c r="A8" s="3"/>
      <c r="B8" s="4"/>
    </row>
    <row r="9" spans="1:2" x14ac:dyDescent="0.3">
      <c r="A9" s="3" t="s">
        <v>9</v>
      </c>
      <c r="B9" s="4"/>
    </row>
    <row r="10" spans="1:2" x14ac:dyDescent="0.3">
      <c r="A10" s="6" t="s">
        <v>10</v>
      </c>
      <c r="B10" s="4" t="s">
        <v>11</v>
      </c>
    </row>
    <row r="11" spans="1:2" x14ac:dyDescent="0.3">
      <c r="A11" s="7" t="s">
        <v>12</v>
      </c>
      <c r="B11" s="4" t="s">
        <v>13</v>
      </c>
    </row>
    <row r="12" spans="1:2" x14ac:dyDescent="0.3">
      <c r="A12" s="8" t="s">
        <v>14</v>
      </c>
      <c r="B12" s="4" t="s">
        <v>15</v>
      </c>
    </row>
    <row r="13" spans="1:2" x14ac:dyDescent="0.3">
      <c r="A13" s="3"/>
      <c r="B13" s="4"/>
    </row>
    <row r="14" spans="1:2" x14ac:dyDescent="0.3">
      <c r="A14" s="3" t="s">
        <v>16</v>
      </c>
      <c r="B14" s="4"/>
    </row>
    <row r="15" spans="1:2" x14ac:dyDescent="0.3">
      <c r="A15" s="5" t="s">
        <v>17</v>
      </c>
      <c r="B15" s="4" t="s">
        <v>18</v>
      </c>
    </row>
    <row r="16" spans="1:2" x14ac:dyDescent="0.3">
      <c r="A16" s="5" t="s">
        <v>19</v>
      </c>
      <c r="B16" s="4" t="s">
        <v>20</v>
      </c>
    </row>
    <row r="17" spans="1:2" x14ac:dyDescent="0.3">
      <c r="A17" s="5" t="s">
        <v>21</v>
      </c>
      <c r="B17" s="4" t="s">
        <v>22</v>
      </c>
    </row>
    <row r="18" spans="1:2" x14ac:dyDescent="0.3">
      <c r="A18" s="5" t="s">
        <v>23</v>
      </c>
      <c r="B18" s="4" t="s">
        <v>24</v>
      </c>
    </row>
    <row r="19" spans="1:2" x14ac:dyDescent="0.3">
      <c r="A19" s="3"/>
      <c r="B19" s="4"/>
    </row>
    <row r="20" spans="1:2" ht="26.4" x14ac:dyDescent="0.3">
      <c r="A20" s="5" t="s">
        <v>25</v>
      </c>
      <c r="B20" s="4" t="s">
        <v>26</v>
      </c>
    </row>
    <row r="22" spans="1:2" ht="15.6" x14ac:dyDescent="0.3">
      <c r="A22" s="9" t="s">
        <v>27</v>
      </c>
    </row>
    <row r="23" spans="1:2" x14ac:dyDescent="0.3">
      <c r="A23" s="10" t="s">
        <v>28</v>
      </c>
      <c r="B23" s="10" t="s">
        <v>29</v>
      </c>
    </row>
    <row r="24" spans="1:2" x14ac:dyDescent="0.3">
      <c r="A24" s="11" t="s">
        <v>10</v>
      </c>
      <c r="B24" s="11">
        <f>COUNTIF('Veri İhtiyaçları'!$F$2:$F$26,A24)</f>
        <v>8</v>
      </c>
    </row>
    <row r="25" spans="1:2" x14ac:dyDescent="0.3">
      <c r="A25" s="11" t="s">
        <v>12</v>
      </c>
      <c r="B25" s="11">
        <f>COUNTIF('Veri İhtiyaçları'!$F$2:$F$26,A25)</f>
        <v>13</v>
      </c>
    </row>
    <row r="26" spans="1:2" x14ac:dyDescent="0.3">
      <c r="A26" s="11" t="s">
        <v>14</v>
      </c>
      <c r="B26" s="11">
        <f>COUNTIF('Veri İhtiyaçları'!$F$2:$F$26,A26)</f>
        <v>2</v>
      </c>
    </row>
    <row r="27" spans="1:2" x14ac:dyDescent="0.3">
      <c r="A27" s="12" t="s">
        <v>30</v>
      </c>
      <c r="B27" s="12">
        <f>SUM(B24:B26)</f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2" customWidth="1"/>
    <col min="3" max="3" width="34" customWidth="1"/>
    <col min="4" max="5" width="26" customWidth="1"/>
    <col min="6" max="6" width="10" customWidth="1"/>
    <col min="7" max="7" width="30" customWidth="1"/>
    <col min="8" max="8" width="42" customWidth="1"/>
    <col min="9" max="9" width="20" customWidth="1"/>
    <col min="10" max="10" width="10" customWidth="1"/>
    <col min="11" max="11" width="48" customWidth="1"/>
  </cols>
  <sheetData>
    <row r="1" spans="1:11" ht="30" customHeight="1" x14ac:dyDescent="0.3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28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</row>
    <row r="2" spans="1:11" x14ac:dyDescent="0.3">
      <c r="A2" s="14" t="s">
        <v>41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52.8" x14ac:dyDescent="0.3">
      <c r="A3" s="16" t="s">
        <v>42</v>
      </c>
      <c r="B3" s="16" t="s">
        <v>43</v>
      </c>
      <c r="C3" s="16" t="s">
        <v>44</v>
      </c>
      <c r="D3" s="16" t="s">
        <v>45</v>
      </c>
      <c r="E3" s="16" t="s">
        <v>46</v>
      </c>
      <c r="F3" s="17" t="s">
        <v>10</v>
      </c>
      <c r="G3" s="16" t="s">
        <v>47</v>
      </c>
      <c r="H3" s="18" t="s">
        <v>48</v>
      </c>
      <c r="I3" s="16" t="s">
        <v>49</v>
      </c>
      <c r="J3" s="19" t="s">
        <v>21</v>
      </c>
      <c r="K3" s="16" t="s">
        <v>50</v>
      </c>
    </row>
    <row r="4" spans="1:11" ht="66" x14ac:dyDescent="0.3">
      <c r="A4" s="16" t="s">
        <v>51</v>
      </c>
      <c r="B4" s="16" t="s">
        <v>43</v>
      </c>
      <c r="C4" s="16" t="s">
        <v>52</v>
      </c>
      <c r="D4" s="16" t="s">
        <v>53</v>
      </c>
      <c r="E4" s="16" t="s">
        <v>54</v>
      </c>
      <c r="F4" s="17" t="s">
        <v>10</v>
      </c>
      <c r="G4" s="16" t="s">
        <v>55</v>
      </c>
      <c r="H4" s="18" t="s">
        <v>56</v>
      </c>
      <c r="I4" s="16" t="s">
        <v>49</v>
      </c>
      <c r="J4" s="19" t="s">
        <v>21</v>
      </c>
      <c r="K4" s="16" t="s">
        <v>57</v>
      </c>
    </row>
    <row r="5" spans="1:11" ht="39.6" x14ac:dyDescent="0.3">
      <c r="A5" s="16" t="s">
        <v>58</v>
      </c>
      <c r="B5" s="16" t="s">
        <v>43</v>
      </c>
      <c r="C5" s="16" t="s">
        <v>59</v>
      </c>
      <c r="D5" s="16" t="s">
        <v>60</v>
      </c>
      <c r="E5" s="16" t="s">
        <v>61</v>
      </c>
      <c r="F5" s="17" t="s">
        <v>12</v>
      </c>
      <c r="G5" s="16" t="s">
        <v>62</v>
      </c>
      <c r="H5" s="18" t="s">
        <v>63</v>
      </c>
      <c r="I5" s="16" t="s">
        <v>49</v>
      </c>
      <c r="J5" s="19" t="s">
        <v>64</v>
      </c>
      <c r="K5" s="16" t="s">
        <v>65</v>
      </c>
    </row>
    <row r="6" spans="1:11" ht="52.8" x14ac:dyDescent="0.3">
      <c r="A6" s="16" t="s">
        <v>66</v>
      </c>
      <c r="B6" s="16" t="s">
        <v>43</v>
      </c>
      <c r="C6" s="16" t="s">
        <v>67</v>
      </c>
      <c r="D6" s="16" t="s">
        <v>60</v>
      </c>
      <c r="E6" s="16" t="s">
        <v>68</v>
      </c>
      <c r="F6" s="17" t="s">
        <v>12</v>
      </c>
      <c r="G6" s="16" t="s">
        <v>69</v>
      </c>
      <c r="H6" s="18" t="s">
        <v>70</v>
      </c>
      <c r="I6" s="16" t="s">
        <v>49</v>
      </c>
      <c r="J6" s="19" t="s">
        <v>21</v>
      </c>
      <c r="K6" s="16" t="s">
        <v>71</v>
      </c>
    </row>
    <row r="7" spans="1:11" ht="39.6" x14ac:dyDescent="0.3">
      <c r="A7" s="16" t="s">
        <v>72</v>
      </c>
      <c r="B7" s="16" t="s">
        <v>43</v>
      </c>
      <c r="C7" s="16" t="s">
        <v>73</v>
      </c>
      <c r="D7" s="16" t="s">
        <v>74</v>
      </c>
      <c r="E7" s="16" t="s">
        <v>75</v>
      </c>
      <c r="F7" s="17" t="s">
        <v>10</v>
      </c>
      <c r="G7" s="16" t="s">
        <v>76</v>
      </c>
      <c r="H7" s="18" t="s">
        <v>77</v>
      </c>
      <c r="I7" s="16" t="s">
        <v>49</v>
      </c>
      <c r="J7" s="19" t="s">
        <v>21</v>
      </c>
      <c r="K7" s="16" t="s">
        <v>78</v>
      </c>
    </row>
    <row r="8" spans="1:11" ht="39.6" x14ac:dyDescent="0.3">
      <c r="A8" s="16" t="s">
        <v>79</v>
      </c>
      <c r="B8" s="16" t="s">
        <v>43</v>
      </c>
      <c r="C8" s="16" t="s">
        <v>80</v>
      </c>
      <c r="D8" s="16" t="s">
        <v>81</v>
      </c>
      <c r="E8" s="16" t="s">
        <v>82</v>
      </c>
      <c r="F8" s="17" t="s">
        <v>12</v>
      </c>
      <c r="G8" s="16" t="s">
        <v>83</v>
      </c>
      <c r="H8" s="18" t="s">
        <v>84</v>
      </c>
      <c r="I8" s="16" t="s">
        <v>49</v>
      </c>
      <c r="J8" s="19" t="s">
        <v>21</v>
      </c>
      <c r="K8" s="16" t="s">
        <v>85</v>
      </c>
    </row>
    <row r="9" spans="1:11" ht="52.8" x14ac:dyDescent="0.3">
      <c r="A9" s="16" t="s">
        <v>86</v>
      </c>
      <c r="B9" s="16" t="s">
        <v>43</v>
      </c>
      <c r="C9" s="16" t="s">
        <v>87</v>
      </c>
      <c r="D9" s="16" t="s">
        <v>88</v>
      </c>
      <c r="E9" s="16" t="s">
        <v>89</v>
      </c>
      <c r="F9" s="17" t="s">
        <v>12</v>
      </c>
      <c r="G9" s="16" t="s">
        <v>90</v>
      </c>
      <c r="H9" s="18" t="s">
        <v>91</v>
      </c>
      <c r="I9" s="16" t="s">
        <v>92</v>
      </c>
      <c r="J9" s="19" t="s">
        <v>21</v>
      </c>
      <c r="K9" s="16" t="s">
        <v>93</v>
      </c>
    </row>
    <row r="10" spans="1:11" ht="52.8" x14ac:dyDescent="0.3">
      <c r="A10" s="16" t="s">
        <v>94</v>
      </c>
      <c r="B10" s="16" t="s">
        <v>43</v>
      </c>
      <c r="C10" s="16" t="s">
        <v>95</v>
      </c>
      <c r="D10" s="16" t="s">
        <v>60</v>
      </c>
      <c r="E10" s="16" t="s">
        <v>96</v>
      </c>
      <c r="F10" s="17" t="s">
        <v>12</v>
      </c>
      <c r="G10" s="16" t="s">
        <v>97</v>
      </c>
      <c r="H10" s="18" t="s">
        <v>98</v>
      </c>
      <c r="I10" s="16" t="s">
        <v>49</v>
      </c>
      <c r="J10" s="19" t="s">
        <v>21</v>
      </c>
      <c r="K10" s="16" t="s">
        <v>99</v>
      </c>
    </row>
    <row r="11" spans="1:11" ht="26.4" x14ac:dyDescent="0.3">
      <c r="A11" s="16" t="s">
        <v>100</v>
      </c>
      <c r="B11" s="16" t="s">
        <v>43</v>
      </c>
      <c r="C11" s="16" t="s">
        <v>101</v>
      </c>
      <c r="D11" s="16" t="s">
        <v>102</v>
      </c>
      <c r="E11" s="16" t="s">
        <v>103</v>
      </c>
      <c r="F11" s="17" t="s">
        <v>12</v>
      </c>
      <c r="G11" s="16" t="s">
        <v>104</v>
      </c>
      <c r="H11" s="18" t="s">
        <v>105</v>
      </c>
      <c r="I11" s="16" t="s">
        <v>106</v>
      </c>
      <c r="J11" s="19" t="s">
        <v>107</v>
      </c>
      <c r="K11" s="16" t="s">
        <v>108</v>
      </c>
    </row>
    <row r="12" spans="1:11" ht="39.6" x14ac:dyDescent="0.3">
      <c r="A12" s="16" t="s">
        <v>109</v>
      </c>
      <c r="B12" s="16" t="s">
        <v>43</v>
      </c>
      <c r="C12" s="16" t="s">
        <v>110</v>
      </c>
      <c r="D12" s="16" t="s">
        <v>111</v>
      </c>
      <c r="E12" s="16" t="s">
        <v>112</v>
      </c>
      <c r="F12" s="17" t="s">
        <v>14</v>
      </c>
      <c r="G12" s="16" t="s">
        <v>14</v>
      </c>
      <c r="H12" s="16" t="s">
        <v>14</v>
      </c>
      <c r="I12" s="16" t="s">
        <v>14</v>
      </c>
      <c r="J12" s="19" t="s">
        <v>23</v>
      </c>
      <c r="K12" s="16" t="s">
        <v>113</v>
      </c>
    </row>
    <row r="13" spans="1:11" ht="26.4" x14ac:dyDescent="0.3">
      <c r="A13" s="16" t="s">
        <v>114</v>
      </c>
      <c r="B13" s="16" t="s">
        <v>43</v>
      </c>
      <c r="C13" s="16" t="s">
        <v>115</v>
      </c>
      <c r="D13" s="16" t="s">
        <v>116</v>
      </c>
      <c r="E13" s="16" t="s">
        <v>23</v>
      </c>
      <c r="F13" s="17" t="s">
        <v>12</v>
      </c>
      <c r="G13" s="16" t="s">
        <v>117</v>
      </c>
      <c r="H13" s="18" t="s">
        <v>77</v>
      </c>
      <c r="I13" s="16" t="s">
        <v>49</v>
      </c>
      <c r="J13" s="19" t="s">
        <v>21</v>
      </c>
      <c r="K13" s="16" t="s">
        <v>118</v>
      </c>
    </row>
    <row r="14" spans="1:11" x14ac:dyDescent="0.3">
      <c r="A14" s="14" t="s">
        <v>119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52.8" x14ac:dyDescent="0.3">
      <c r="A15" s="16" t="s">
        <v>120</v>
      </c>
      <c r="B15" s="16" t="s">
        <v>121</v>
      </c>
      <c r="C15" s="16" t="s">
        <v>122</v>
      </c>
      <c r="D15" s="16" t="s">
        <v>123</v>
      </c>
      <c r="E15" s="16" t="s">
        <v>57</v>
      </c>
      <c r="F15" s="17" t="s">
        <v>10</v>
      </c>
      <c r="G15" s="16" t="s">
        <v>124</v>
      </c>
      <c r="H15" s="18" t="s">
        <v>125</v>
      </c>
      <c r="I15" s="16" t="s">
        <v>49</v>
      </c>
      <c r="J15" s="19" t="s">
        <v>17</v>
      </c>
      <c r="K15" s="16" t="s">
        <v>57</v>
      </c>
    </row>
    <row r="16" spans="1:11" ht="52.8" x14ac:dyDescent="0.3">
      <c r="A16" s="16" t="s">
        <v>126</v>
      </c>
      <c r="B16" s="16" t="s">
        <v>121</v>
      </c>
      <c r="C16" s="16" t="s">
        <v>127</v>
      </c>
      <c r="D16" s="16" t="s">
        <v>128</v>
      </c>
      <c r="E16" s="16" t="s">
        <v>57</v>
      </c>
      <c r="F16" s="17" t="s">
        <v>10</v>
      </c>
      <c r="G16" s="16" t="s">
        <v>129</v>
      </c>
      <c r="H16" s="18" t="s">
        <v>125</v>
      </c>
      <c r="I16" s="16" t="s">
        <v>49</v>
      </c>
      <c r="J16" s="19" t="s">
        <v>17</v>
      </c>
      <c r="K16" s="16" t="s">
        <v>130</v>
      </c>
    </row>
    <row r="17" spans="1:11" ht="39.6" x14ac:dyDescent="0.3">
      <c r="A17" s="16" t="s">
        <v>131</v>
      </c>
      <c r="B17" s="16" t="s">
        <v>121</v>
      </c>
      <c r="C17" s="16" t="s">
        <v>132</v>
      </c>
      <c r="D17" s="16" t="s">
        <v>133</v>
      </c>
      <c r="E17" s="16" t="s">
        <v>57</v>
      </c>
      <c r="F17" s="17" t="s">
        <v>10</v>
      </c>
      <c r="G17" s="16" t="s">
        <v>134</v>
      </c>
      <c r="H17" s="18" t="s">
        <v>135</v>
      </c>
      <c r="I17" s="16" t="s">
        <v>49</v>
      </c>
      <c r="J17" s="19" t="s">
        <v>17</v>
      </c>
      <c r="K17" s="16" t="s">
        <v>57</v>
      </c>
    </row>
    <row r="18" spans="1:11" ht="26.4" x14ac:dyDescent="0.3">
      <c r="A18" s="16" t="s">
        <v>136</v>
      </c>
      <c r="B18" s="16" t="s">
        <v>121</v>
      </c>
      <c r="C18" s="16" t="s">
        <v>137</v>
      </c>
      <c r="D18" s="16" t="s">
        <v>138</v>
      </c>
      <c r="E18" s="16" t="s">
        <v>57</v>
      </c>
      <c r="F18" s="17" t="s">
        <v>10</v>
      </c>
      <c r="G18" s="16" t="s">
        <v>139</v>
      </c>
      <c r="H18" s="18" t="s">
        <v>140</v>
      </c>
      <c r="I18" s="16" t="s">
        <v>49</v>
      </c>
      <c r="J18" s="19" t="s">
        <v>17</v>
      </c>
      <c r="K18" s="16" t="s">
        <v>57</v>
      </c>
    </row>
    <row r="19" spans="1:11" ht="52.8" x14ac:dyDescent="0.3">
      <c r="A19" s="16" t="s">
        <v>141</v>
      </c>
      <c r="B19" s="16" t="s">
        <v>121</v>
      </c>
      <c r="C19" s="16" t="s">
        <v>142</v>
      </c>
      <c r="D19" s="16" t="s">
        <v>143</v>
      </c>
      <c r="E19" s="16" t="s">
        <v>57</v>
      </c>
      <c r="F19" s="17" t="s">
        <v>10</v>
      </c>
      <c r="G19" s="16" t="s">
        <v>144</v>
      </c>
      <c r="H19" s="18" t="s">
        <v>125</v>
      </c>
      <c r="I19" s="16" t="s">
        <v>49</v>
      </c>
      <c r="J19" s="19" t="s">
        <v>17</v>
      </c>
      <c r="K19" s="16" t="s">
        <v>57</v>
      </c>
    </row>
    <row r="20" spans="1:11" ht="66" x14ac:dyDescent="0.3">
      <c r="A20" s="16" t="s">
        <v>145</v>
      </c>
      <c r="B20" s="16" t="s">
        <v>121</v>
      </c>
      <c r="C20" s="16" t="s">
        <v>146</v>
      </c>
      <c r="D20" s="16" t="s">
        <v>147</v>
      </c>
      <c r="E20" s="16" t="s">
        <v>57</v>
      </c>
      <c r="F20" s="17" t="s">
        <v>12</v>
      </c>
      <c r="G20" s="16" t="s">
        <v>148</v>
      </c>
      <c r="H20" s="18" t="s">
        <v>149</v>
      </c>
      <c r="I20" s="16" t="s">
        <v>92</v>
      </c>
      <c r="J20" s="19" t="s">
        <v>17</v>
      </c>
      <c r="K20" s="16" t="s">
        <v>150</v>
      </c>
    </row>
    <row r="21" spans="1:11" ht="52.8" x14ac:dyDescent="0.3">
      <c r="A21" s="16" t="s">
        <v>151</v>
      </c>
      <c r="B21" s="16" t="s">
        <v>121</v>
      </c>
      <c r="C21" s="16" t="s">
        <v>152</v>
      </c>
      <c r="D21" s="16" t="s">
        <v>153</v>
      </c>
      <c r="E21" s="16" t="s">
        <v>57</v>
      </c>
      <c r="F21" s="17" t="s">
        <v>12</v>
      </c>
      <c r="G21" s="16" t="s">
        <v>154</v>
      </c>
      <c r="H21" s="18" t="s">
        <v>125</v>
      </c>
      <c r="I21" s="16" t="s">
        <v>49</v>
      </c>
      <c r="J21" s="19" t="s">
        <v>17</v>
      </c>
      <c r="K21" s="16" t="s">
        <v>57</v>
      </c>
    </row>
    <row r="22" spans="1:11" ht="39.6" x14ac:dyDescent="0.3">
      <c r="A22" s="16" t="s">
        <v>155</v>
      </c>
      <c r="B22" s="16" t="s">
        <v>121</v>
      </c>
      <c r="C22" s="16" t="s">
        <v>156</v>
      </c>
      <c r="D22" s="16" t="s">
        <v>157</v>
      </c>
      <c r="E22" s="16" t="s">
        <v>57</v>
      </c>
      <c r="F22" s="17" t="s">
        <v>12</v>
      </c>
      <c r="G22" s="16" t="s">
        <v>158</v>
      </c>
      <c r="H22" s="18" t="s">
        <v>105</v>
      </c>
      <c r="I22" s="16" t="s">
        <v>106</v>
      </c>
      <c r="J22" s="19" t="s">
        <v>19</v>
      </c>
      <c r="K22" s="16" t="s">
        <v>159</v>
      </c>
    </row>
    <row r="23" spans="1:11" ht="39.6" x14ac:dyDescent="0.3">
      <c r="A23" s="16" t="s">
        <v>160</v>
      </c>
      <c r="B23" s="16" t="s">
        <v>121</v>
      </c>
      <c r="C23" s="16" t="s">
        <v>161</v>
      </c>
      <c r="D23" s="16" t="s">
        <v>162</v>
      </c>
      <c r="E23" s="16" t="s">
        <v>57</v>
      </c>
      <c r="F23" s="17" t="s">
        <v>14</v>
      </c>
      <c r="G23" s="16" t="s">
        <v>14</v>
      </c>
      <c r="H23" s="16" t="s">
        <v>14</v>
      </c>
      <c r="I23" s="16" t="s">
        <v>14</v>
      </c>
      <c r="J23" s="19" t="s">
        <v>23</v>
      </c>
      <c r="K23" s="16" t="s">
        <v>163</v>
      </c>
    </row>
    <row r="24" spans="1:11" ht="26.4" x14ac:dyDescent="0.3">
      <c r="A24" s="16" t="s">
        <v>164</v>
      </c>
      <c r="B24" s="16" t="s">
        <v>121</v>
      </c>
      <c r="C24" s="16" t="s">
        <v>165</v>
      </c>
      <c r="D24" s="16" t="s">
        <v>166</v>
      </c>
      <c r="E24" s="16" t="s">
        <v>57</v>
      </c>
      <c r="F24" s="17" t="s">
        <v>12</v>
      </c>
      <c r="G24" s="16" t="s">
        <v>167</v>
      </c>
      <c r="H24" s="18" t="s">
        <v>168</v>
      </c>
      <c r="I24" s="16" t="s">
        <v>169</v>
      </c>
      <c r="J24" s="19" t="s">
        <v>17</v>
      </c>
      <c r="K24" s="16" t="s">
        <v>170</v>
      </c>
    </row>
    <row r="25" spans="1:11" ht="26.4" x14ac:dyDescent="0.3">
      <c r="A25" s="16" t="s">
        <v>171</v>
      </c>
      <c r="B25" s="16" t="s">
        <v>121</v>
      </c>
      <c r="C25" s="16" t="s">
        <v>172</v>
      </c>
      <c r="D25" s="16" t="s">
        <v>173</v>
      </c>
      <c r="E25" s="16" t="s">
        <v>57</v>
      </c>
      <c r="F25" s="17" t="s">
        <v>12</v>
      </c>
      <c r="G25" s="16" t="s">
        <v>174</v>
      </c>
      <c r="H25" s="18" t="s">
        <v>175</v>
      </c>
      <c r="I25" s="16" t="s">
        <v>49</v>
      </c>
      <c r="J25" s="19" t="s">
        <v>19</v>
      </c>
      <c r="K25" s="16" t="s">
        <v>176</v>
      </c>
    </row>
    <row r="26" spans="1:11" ht="39.6" x14ac:dyDescent="0.3">
      <c r="A26" s="16" t="s">
        <v>177</v>
      </c>
      <c r="B26" s="16" t="s">
        <v>121</v>
      </c>
      <c r="C26" s="16" t="s">
        <v>178</v>
      </c>
      <c r="D26" s="16" t="s">
        <v>179</v>
      </c>
      <c r="E26" s="16" t="s">
        <v>57</v>
      </c>
      <c r="F26" s="17" t="s">
        <v>12</v>
      </c>
      <c r="G26" s="16" t="s">
        <v>180</v>
      </c>
      <c r="H26" s="18" t="s">
        <v>181</v>
      </c>
      <c r="I26" s="16" t="s">
        <v>92</v>
      </c>
      <c r="J26" s="19" t="s">
        <v>182</v>
      </c>
      <c r="K26" s="16" t="s">
        <v>183</v>
      </c>
    </row>
  </sheetData>
  <autoFilter ref="A1:K26" xr:uid="{00000000-0009-0000-0000-000001000000}"/>
  <conditionalFormatting sqref="F2:F26">
    <cfRule type="expression" dxfId="2" priority="1">
      <formula>$F2="Mevcut"</formula>
    </cfRule>
    <cfRule type="expression" dxfId="1" priority="2">
      <formula>$F2="Kısmen"</formula>
    </cfRule>
    <cfRule type="expression" dxfId="0" priority="3">
      <formula>$F2="X"</formula>
    </cfRule>
  </conditionalFormatting>
  <hyperlinks>
    <hyperlink ref="H3" r:id="rId1" xr:uid="{00000000-0004-0000-0100-000000000000}"/>
    <hyperlink ref="H4" r:id="rId2" xr:uid="{00000000-0004-0000-0100-000001000000}"/>
    <hyperlink ref="H5" r:id="rId3" xr:uid="{00000000-0004-0000-0100-000002000000}"/>
    <hyperlink ref="H6" r:id="rId4" xr:uid="{00000000-0004-0000-0100-000003000000}"/>
    <hyperlink ref="H7" r:id="rId5" xr:uid="{00000000-0004-0000-0100-000004000000}"/>
    <hyperlink ref="H8" r:id="rId6" xr:uid="{00000000-0004-0000-0100-000005000000}"/>
    <hyperlink ref="H9" r:id="rId7" xr:uid="{00000000-0004-0000-0100-000006000000}"/>
    <hyperlink ref="H10" r:id="rId8" xr:uid="{00000000-0004-0000-0100-000007000000}"/>
    <hyperlink ref="H11" r:id="rId9" xr:uid="{00000000-0004-0000-0100-000008000000}"/>
    <hyperlink ref="H13" r:id="rId10" xr:uid="{00000000-0004-0000-0100-000009000000}"/>
    <hyperlink ref="H15" r:id="rId11" xr:uid="{00000000-0004-0000-0100-00000A000000}"/>
    <hyperlink ref="H16" r:id="rId12" xr:uid="{00000000-0004-0000-0100-00000B000000}"/>
    <hyperlink ref="H17" r:id="rId13" xr:uid="{00000000-0004-0000-0100-00000C000000}"/>
    <hyperlink ref="H18" r:id="rId14" xr:uid="{00000000-0004-0000-0100-00000D000000}"/>
    <hyperlink ref="H19" r:id="rId15" xr:uid="{00000000-0004-0000-0100-00000E000000}"/>
    <hyperlink ref="H20" r:id="rId16" xr:uid="{00000000-0004-0000-0100-00000F000000}"/>
    <hyperlink ref="H21" r:id="rId17" xr:uid="{00000000-0004-0000-0100-000010000000}"/>
    <hyperlink ref="H22" r:id="rId18" xr:uid="{00000000-0004-0000-0100-000011000000}"/>
    <hyperlink ref="H24" r:id="rId19" xr:uid="{00000000-0004-0000-0100-000012000000}"/>
    <hyperlink ref="H25" r:id="rId20" xr:uid="{00000000-0004-0000-0100-000013000000}"/>
    <hyperlink ref="H26" r:id="rId21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0" customWidth="1"/>
    <col min="3" max="3" width="28" customWidth="1"/>
    <col min="4" max="4" width="14" customWidth="1"/>
    <col min="5" max="5" width="10" customWidth="1"/>
    <col min="6" max="6" width="16" customWidth="1"/>
    <col min="7" max="7" width="18" customWidth="1"/>
    <col min="8" max="8" width="9" customWidth="1"/>
    <col min="9" max="9" width="16" customWidth="1"/>
    <col min="10" max="10" width="18" customWidth="1"/>
    <col min="11" max="11" width="26" customWidth="1"/>
    <col min="12" max="12" width="42" customWidth="1"/>
  </cols>
  <sheetData>
    <row r="1" spans="1:12" ht="30" customHeight="1" x14ac:dyDescent="0.3">
      <c r="A1" s="13" t="s">
        <v>36</v>
      </c>
      <c r="B1" s="13" t="s">
        <v>184</v>
      </c>
      <c r="C1" s="13" t="s">
        <v>185</v>
      </c>
      <c r="D1" s="13" t="s">
        <v>186</v>
      </c>
      <c r="E1" s="13" t="s">
        <v>187</v>
      </c>
      <c r="F1" s="13" t="s">
        <v>38</v>
      </c>
      <c r="G1" s="13" t="s">
        <v>28</v>
      </c>
      <c r="H1" s="13" t="s">
        <v>188</v>
      </c>
      <c r="I1" s="13" t="s">
        <v>189</v>
      </c>
      <c r="J1" s="13" t="s">
        <v>190</v>
      </c>
      <c r="K1" s="13" t="s">
        <v>191</v>
      </c>
      <c r="L1" s="13" t="s">
        <v>37</v>
      </c>
    </row>
    <row r="2" spans="1:12" ht="26.4" x14ac:dyDescent="0.3">
      <c r="A2" s="20" t="s">
        <v>192</v>
      </c>
      <c r="B2" s="16" t="s">
        <v>193</v>
      </c>
      <c r="C2" s="16" t="s">
        <v>194</v>
      </c>
      <c r="D2" s="16" t="s">
        <v>195</v>
      </c>
      <c r="E2" s="16" t="s">
        <v>196</v>
      </c>
      <c r="F2" s="16" t="s">
        <v>49</v>
      </c>
      <c r="G2" s="21" t="s">
        <v>197</v>
      </c>
      <c r="H2" s="19" t="s">
        <v>17</v>
      </c>
      <c r="I2" s="16" t="s">
        <v>198</v>
      </c>
      <c r="J2" s="16" t="s">
        <v>199</v>
      </c>
      <c r="K2" s="16" t="s">
        <v>200</v>
      </c>
      <c r="L2" s="18" t="s">
        <v>201</v>
      </c>
    </row>
    <row r="3" spans="1:12" ht="26.4" x14ac:dyDescent="0.3">
      <c r="A3" s="20" t="s">
        <v>202</v>
      </c>
      <c r="B3" s="16" t="s">
        <v>203</v>
      </c>
      <c r="C3" s="16" t="s">
        <v>204</v>
      </c>
      <c r="D3" s="16" t="s">
        <v>205</v>
      </c>
      <c r="E3" s="16" t="s">
        <v>206</v>
      </c>
      <c r="F3" s="16" t="s">
        <v>49</v>
      </c>
      <c r="G3" s="21" t="s">
        <v>197</v>
      </c>
      <c r="H3" s="19" t="s">
        <v>17</v>
      </c>
      <c r="I3" s="16" t="s">
        <v>207</v>
      </c>
      <c r="J3" s="16" t="s">
        <v>208</v>
      </c>
      <c r="K3" s="16" t="s">
        <v>209</v>
      </c>
      <c r="L3" s="18" t="s">
        <v>77</v>
      </c>
    </row>
    <row r="4" spans="1:12" ht="26.4" x14ac:dyDescent="0.3">
      <c r="A4" s="20" t="s">
        <v>210</v>
      </c>
      <c r="B4" s="16" t="s">
        <v>211</v>
      </c>
      <c r="C4" s="16" t="s">
        <v>212</v>
      </c>
      <c r="D4" s="16" t="s">
        <v>206</v>
      </c>
      <c r="E4" s="16" t="s">
        <v>213</v>
      </c>
      <c r="F4" s="16" t="s">
        <v>49</v>
      </c>
      <c r="G4" s="21" t="s">
        <v>197</v>
      </c>
      <c r="H4" s="19" t="s">
        <v>19</v>
      </c>
      <c r="I4" s="16" t="s">
        <v>214</v>
      </c>
      <c r="J4" s="16" t="s">
        <v>215</v>
      </c>
      <c r="K4" s="16" t="s">
        <v>216</v>
      </c>
      <c r="L4" s="18" t="s">
        <v>140</v>
      </c>
    </row>
    <row r="5" spans="1:12" ht="26.4" x14ac:dyDescent="0.3">
      <c r="A5" s="20" t="s">
        <v>217</v>
      </c>
      <c r="B5" s="16" t="s">
        <v>218</v>
      </c>
      <c r="C5" s="16" t="s">
        <v>219</v>
      </c>
      <c r="D5" s="16" t="s">
        <v>205</v>
      </c>
      <c r="E5" s="16" t="s">
        <v>220</v>
      </c>
      <c r="F5" s="16" t="s">
        <v>49</v>
      </c>
      <c r="G5" s="21" t="s">
        <v>221</v>
      </c>
      <c r="H5" s="19" t="s">
        <v>19</v>
      </c>
      <c r="I5" s="16" t="s">
        <v>222</v>
      </c>
      <c r="J5" s="16" t="s">
        <v>223</v>
      </c>
      <c r="K5" s="16" t="s">
        <v>224</v>
      </c>
      <c r="L5" s="18" t="s">
        <v>225</v>
      </c>
    </row>
    <row r="6" spans="1:12" ht="26.4" x14ac:dyDescent="0.3">
      <c r="A6" s="20" t="s">
        <v>226</v>
      </c>
      <c r="B6" s="16" t="s">
        <v>227</v>
      </c>
      <c r="C6" s="16" t="s">
        <v>219</v>
      </c>
      <c r="D6" s="16" t="s">
        <v>205</v>
      </c>
      <c r="E6" s="16" t="s">
        <v>228</v>
      </c>
      <c r="F6" s="16" t="s">
        <v>229</v>
      </c>
      <c r="G6" s="21" t="s">
        <v>230</v>
      </c>
      <c r="H6" s="19" t="s">
        <v>19</v>
      </c>
      <c r="I6" s="16" t="s">
        <v>222</v>
      </c>
      <c r="J6" s="16" t="s">
        <v>223</v>
      </c>
      <c r="K6" s="16" t="s">
        <v>231</v>
      </c>
      <c r="L6" s="18" t="s">
        <v>232</v>
      </c>
    </row>
    <row r="7" spans="1:12" ht="26.4" x14ac:dyDescent="0.3">
      <c r="A7" s="20" t="s">
        <v>233</v>
      </c>
      <c r="B7" s="16" t="s">
        <v>234</v>
      </c>
      <c r="C7" s="16" t="s">
        <v>219</v>
      </c>
      <c r="D7" s="16" t="s">
        <v>205</v>
      </c>
      <c r="E7" s="16" t="s">
        <v>235</v>
      </c>
      <c r="F7" s="16" t="s">
        <v>229</v>
      </c>
      <c r="G7" s="21" t="s">
        <v>230</v>
      </c>
      <c r="H7" s="19" t="s">
        <v>21</v>
      </c>
      <c r="I7" s="16" t="s">
        <v>222</v>
      </c>
      <c r="J7" s="16" t="s">
        <v>223</v>
      </c>
      <c r="K7" s="16" t="s">
        <v>236</v>
      </c>
      <c r="L7" s="18" t="s">
        <v>237</v>
      </c>
    </row>
    <row r="8" spans="1:12" ht="26.4" x14ac:dyDescent="0.3">
      <c r="A8" s="20" t="s">
        <v>238</v>
      </c>
      <c r="B8" s="16" t="s">
        <v>239</v>
      </c>
      <c r="C8" s="16" t="s">
        <v>240</v>
      </c>
      <c r="D8" s="16" t="s">
        <v>205</v>
      </c>
      <c r="E8" s="16" t="s">
        <v>241</v>
      </c>
      <c r="F8" s="16" t="s">
        <v>49</v>
      </c>
      <c r="G8" s="21" t="s">
        <v>197</v>
      </c>
      <c r="H8" s="19" t="s">
        <v>21</v>
      </c>
      <c r="I8" s="16" t="s">
        <v>222</v>
      </c>
      <c r="J8" s="16" t="s">
        <v>86</v>
      </c>
      <c r="K8" s="16" t="s">
        <v>242</v>
      </c>
      <c r="L8" s="18" t="s">
        <v>243</v>
      </c>
    </row>
    <row r="9" spans="1:12" ht="26.4" x14ac:dyDescent="0.3">
      <c r="A9" s="20" t="s">
        <v>244</v>
      </c>
      <c r="B9" s="16" t="s">
        <v>245</v>
      </c>
      <c r="C9" s="16" t="s">
        <v>246</v>
      </c>
      <c r="D9" s="16" t="s">
        <v>205</v>
      </c>
      <c r="E9" s="16" t="s">
        <v>247</v>
      </c>
      <c r="F9" s="16" t="s">
        <v>49</v>
      </c>
      <c r="G9" s="21" t="s">
        <v>197</v>
      </c>
      <c r="H9" s="19" t="s">
        <v>21</v>
      </c>
      <c r="I9" s="16" t="s">
        <v>248</v>
      </c>
      <c r="J9" s="16" t="s">
        <v>249</v>
      </c>
      <c r="K9" s="16" t="s">
        <v>250</v>
      </c>
      <c r="L9" s="18" t="s">
        <v>251</v>
      </c>
    </row>
    <row r="10" spans="1:12" ht="26.4" x14ac:dyDescent="0.3">
      <c r="A10" s="20" t="s">
        <v>252</v>
      </c>
      <c r="B10" s="16" t="s">
        <v>253</v>
      </c>
      <c r="C10" s="16" t="s">
        <v>254</v>
      </c>
      <c r="D10" s="16" t="s">
        <v>255</v>
      </c>
      <c r="E10" s="16" t="s">
        <v>256</v>
      </c>
      <c r="F10" s="16" t="s">
        <v>49</v>
      </c>
      <c r="G10" s="21" t="s">
        <v>257</v>
      </c>
      <c r="H10" s="19" t="s">
        <v>23</v>
      </c>
      <c r="I10" s="16" t="s">
        <v>258</v>
      </c>
      <c r="J10" s="16" t="s">
        <v>259</v>
      </c>
      <c r="K10" s="16" t="s">
        <v>260</v>
      </c>
      <c r="L10" s="18" t="s">
        <v>261</v>
      </c>
    </row>
    <row r="11" spans="1:12" ht="26.4" x14ac:dyDescent="0.3">
      <c r="A11" s="20" t="s">
        <v>262</v>
      </c>
      <c r="B11" s="16" t="s">
        <v>263</v>
      </c>
      <c r="C11" s="16" t="s">
        <v>264</v>
      </c>
      <c r="D11" s="16" t="s">
        <v>205</v>
      </c>
      <c r="E11" s="16" t="s">
        <v>265</v>
      </c>
      <c r="F11" s="16" t="s">
        <v>49</v>
      </c>
      <c r="G11" s="21" t="s">
        <v>257</v>
      </c>
      <c r="H11" s="19" t="s">
        <v>23</v>
      </c>
      <c r="I11" s="16" t="s">
        <v>258</v>
      </c>
      <c r="J11" s="16" t="s">
        <v>266</v>
      </c>
      <c r="K11" s="16" t="s">
        <v>267</v>
      </c>
      <c r="L11" s="18" t="s">
        <v>268</v>
      </c>
    </row>
    <row r="12" spans="1:12" ht="26.4" x14ac:dyDescent="0.3">
      <c r="A12" s="20" t="s">
        <v>269</v>
      </c>
      <c r="B12" s="16" t="s">
        <v>270</v>
      </c>
      <c r="C12" s="16" t="s">
        <v>271</v>
      </c>
      <c r="D12" s="16" t="s">
        <v>272</v>
      </c>
      <c r="E12" s="16" t="s">
        <v>206</v>
      </c>
      <c r="F12" s="16" t="s">
        <v>273</v>
      </c>
      <c r="G12" s="21" t="s">
        <v>257</v>
      </c>
      <c r="H12" s="19" t="s">
        <v>23</v>
      </c>
      <c r="I12" s="16" t="s">
        <v>258</v>
      </c>
      <c r="J12" s="16" t="s">
        <v>164</v>
      </c>
      <c r="K12" s="16" t="s">
        <v>274</v>
      </c>
      <c r="L12" s="18" t="s">
        <v>275</v>
      </c>
    </row>
    <row r="13" spans="1:12" ht="26.4" x14ac:dyDescent="0.3">
      <c r="A13" s="20" t="s">
        <v>276</v>
      </c>
      <c r="B13" s="16" t="s">
        <v>277</v>
      </c>
      <c r="C13" s="16" t="s">
        <v>278</v>
      </c>
      <c r="D13" s="16" t="s">
        <v>206</v>
      </c>
      <c r="E13" s="16" t="s">
        <v>206</v>
      </c>
      <c r="F13" s="16" t="s">
        <v>279</v>
      </c>
      <c r="G13" s="21" t="s">
        <v>280</v>
      </c>
      <c r="H13" s="19" t="s">
        <v>19</v>
      </c>
      <c r="I13" s="16" t="s">
        <v>281</v>
      </c>
      <c r="J13" s="16" t="s">
        <v>282</v>
      </c>
      <c r="K13" s="16" t="s">
        <v>283</v>
      </c>
      <c r="L13" s="18" t="s">
        <v>284</v>
      </c>
    </row>
    <row r="14" spans="1:12" ht="26.4" x14ac:dyDescent="0.3">
      <c r="A14" s="20" t="s">
        <v>285</v>
      </c>
      <c r="B14" s="16" t="s">
        <v>286</v>
      </c>
      <c r="C14" s="16" t="s">
        <v>57</v>
      </c>
      <c r="D14" s="16" t="s">
        <v>287</v>
      </c>
      <c r="E14" s="16" t="s">
        <v>57</v>
      </c>
      <c r="F14" s="16" t="s">
        <v>49</v>
      </c>
      <c r="G14" s="21" t="s">
        <v>288</v>
      </c>
      <c r="H14" s="19" t="s">
        <v>17</v>
      </c>
      <c r="I14" s="16" t="s">
        <v>289</v>
      </c>
      <c r="J14" s="16" t="s">
        <v>79</v>
      </c>
      <c r="K14" s="16" t="s">
        <v>290</v>
      </c>
      <c r="L14" s="18" t="s">
        <v>291</v>
      </c>
    </row>
    <row r="15" spans="1:12" ht="26.4" x14ac:dyDescent="0.3">
      <c r="A15" s="20" t="s">
        <v>292</v>
      </c>
      <c r="B15" s="16" t="s">
        <v>293</v>
      </c>
      <c r="C15" s="16" t="s">
        <v>294</v>
      </c>
      <c r="D15" s="16" t="s">
        <v>287</v>
      </c>
      <c r="E15" s="16" t="s">
        <v>57</v>
      </c>
      <c r="F15" s="16" t="s">
        <v>49</v>
      </c>
      <c r="G15" s="21" t="s">
        <v>295</v>
      </c>
      <c r="H15" s="19" t="s">
        <v>57</v>
      </c>
      <c r="I15" s="16" t="s">
        <v>296</v>
      </c>
      <c r="J15" s="16" t="s">
        <v>297</v>
      </c>
      <c r="K15" s="16" t="s">
        <v>290</v>
      </c>
      <c r="L15" s="18" t="s">
        <v>298</v>
      </c>
    </row>
    <row r="16" spans="1:12" ht="26.4" x14ac:dyDescent="0.3">
      <c r="A16" s="20" t="s">
        <v>299</v>
      </c>
      <c r="B16" s="16" t="s">
        <v>300</v>
      </c>
      <c r="C16" s="16" t="s">
        <v>301</v>
      </c>
      <c r="D16" s="16" t="s">
        <v>302</v>
      </c>
      <c r="E16" s="16" t="s">
        <v>303</v>
      </c>
      <c r="F16" s="16" t="s">
        <v>49</v>
      </c>
      <c r="G16" s="21" t="s">
        <v>197</v>
      </c>
      <c r="H16" s="19" t="s">
        <v>19</v>
      </c>
      <c r="I16" s="16" t="s">
        <v>207</v>
      </c>
      <c r="J16" s="16" t="s">
        <v>51</v>
      </c>
      <c r="K16" s="16" t="s">
        <v>304</v>
      </c>
      <c r="L16" s="18" t="s">
        <v>305</v>
      </c>
    </row>
    <row r="17" spans="1:12" ht="26.4" x14ac:dyDescent="0.3">
      <c r="A17" s="20" t="s">
        <v>306</v>
      </c>
      <c r="B17" s="16" t="s">
        <v>307</v>
      </c>
      <c r="C17" s="16" t="s">
        <v>57</v>
      </c>
      <c r="D17" s="16" t="s">
        <v>308</v>
      </c>
      <c r="E17" s="16" t="s">
        <v>57</v>
      </c>
      <c r="F17" s="16" t="s">
        <v>49</v>
      </c>
      <c r="G17" s="21" t="s">
        <v>295</v>
      </c>
      <c r="H17" s="19" t="s">
        <v>17</v>
      </c>
      <c r="I17" s="16" t="s">
        <v>207</v>
      </c>
      <c r="J17" s="16" t="s">
        <v>42</v>
      </c>
      <c r="K17" s="16" t="s">
        <v>290</v>
      </c>
      <c r="L17" s="18" t="s">
        <v>309</v>
      </c>
    </row>
    <row r="18" spans="1:12" ht="26.4" x14ac:dyDescent="0.3">
      <c r="A18" s="20" t="s">
        <v>310</v>
      </c>
      <c r="B18" s="16" t="s">
        <v>311</v>
      </c>
      <c r="C18" s="16" t="s">
        <v>57</v>
      </c>
      <c r="D18" s="16" t="s">
        <v>312</v>
      </c>
      <c r="E18" s="16" t="s">
        <v>57</v>
      </c>
      <c r="F18" s="16" t="s">
        <v>49</v>
      </c>
      <c r="G18" s="21" t="s">
        <v>295</v>
      </c>
      <c r="H18" s="19" t="s">
        <v>17</v>
      </c>
      <c r="I18" s="16" t="s">
        <v>207</v>
      </c>
      <c r="J18" s="16" t="s">
        <v>66</v>
      </c>
      <c r="K18" s="16" t="s">
        <v>290</v>
      </c>
      <c r="L18" s="18" t="s">
        <v>313</v>
      </c>
    </row>
    <row r="19" spans="1:12" ht="26.4" x14ac:dyDescent="0.3">
      <c r="A19" s="20" t="s">
        <v>314</v>
      </c>
      <c r="B19" s="16" t="s">
        <v>315</v>
      </c>
      <c r="C19" s="16" t="s">
        <v>57</v>
      </c>
      <c r="D19" s="16" t="s">
        <v>316</v>
      </c>
      <c r="E19" s="16" t="s">
        <v>57</v>
      </c>
      <c r="F19" s="16" t="s">
        <v>49</v>
      </c>
      <c r="G19" s="21" t="s">
        <v>295</v>
      </c>
      <c r="H19" s="19" t="s">
        <v>17</v>
      </c>
      <c r="I19" s="16" t="s">
        <v>207</v>
      </c>
      <c r="J19" s="16" t="s">
        <v>86</v>
      </c>
      <c r="K19" s="16" t="s">
        <v>290</v>
      </c>
      <c r="L19" s="18" t="s">
        <v>317</v>
      </c>
    </row>
    <row r="20" spans="1:12" x14ac:dyDescent="0.3">
      <c r="A20" s="20" t="s">
        <v>318</v>
      </c>
      <c r="B20" s="16" t="s">
        <v>319</v>
      </c>
      <c r="C20" s="16" t="s">
        <v>57</v>
      </c>
      <c r="D20" s="16" t="s">
        <v>287</v>
      </c>
      <c r="E20" s="16" t="s">
        <v>57</v>
      </c>
      <c r="F20" s="16" t="s">
        <v>320</v>
      </c>
      <c r="G20" s="21" t="s">
        <v>288</v>
      </c>
      <c r="H20" s="19" t="s">
        <v>21</v>
      </c>
      <c r="I20" s="16" t="s">
        <v>296</v>
      </c>
      <c r="J20" s="16" t="s">
        <v>321</v>
      </c>
      <c r="K20" s="16" t="s">
        <v>290</v>
      </c>
      <c r="L20" s="16" t="s">
        <v>14</v>
      </c>
    </row>
    <row r="21" spans="1:12" ht="26.4" x14ac:dyDescent="0.3">
      <c r="A21" s="20" t="s">
        <v>322</v>
      </c>
      <c r="B21" s="16" t="s">
        <v>323</v>
      </c>
      <c r="C21" s="16" t="s">
        <v>57</v>
      </c>
      <c r="D21" s="16" t="s">
        <v>324</v>
      </c>
      <c r="E21" s="16" t="s">
        <v>57</v>
      </c>
      <c r="F21" s="16" t="s">
        <v>325</v>
      </c>
      <c r="G21" s="21" t="s">
        <v>326</v>
      </c>
      <c r="H21" s="19" t="s">
        <v>19</v>
      </c>
      <c r="I21" s="16" t="s">
        <v>296</v>
      </c>
      <c r="J21" s="16" t="s">
        <v>94</v>
      </c>
      <c r="K21" s="16" t="s">
        <v>290</v>
      </c>
      <c r="L21" s="16" t="s">
        <v>14</v>
      </c>
    </row>
    <row r="23" spans="1:12" x14ac:dyDescent="0.3">
      <c r="A23" s="22" t="s">
        <v>327</v>
      </c>
    </row>
  </sheetData>
  <autoFilter ref="A1:L21" xr:uid="{00000000-0009-0000-0000-000002000000}"/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22" customWidth="1"/>
    <col min="3" max="3" width="30" customWidth="1"/>
    <col min="4" max="4" width="44" customWidth="1"/>
    <col min="5" max="5" width="14" customWidth="1"/>
    <col min="6" max="6" width="18" customWidth="1"/>
    <col min="7" max="7" width="16" customWidth="1"/>
    <col min="8" max="8" width="40" customWidth="1"/>
  </cols>
  <sheetData>
    <row r="1" spans="1:8" ht="30" customHeight="1" x14ac:dyDescent="0.3">
      <c r="A1" s="13" t="s">
        <v>328</v>
      </c>
      <c r="B1" s="13" t="s">
        <v>329</v>
      </c>
      <c r="C1" s="13" t="s">
        <v>330</v>
      </c>
      <c r="D1" s="13" t="s">
        <v>331</v>
      </c>
      <c r="E1" s="13" t="s">
        <v>332</v>
      </c>
      <c r="F1" s="13" t="s">
        <v>28</v>
      </c>
      <c r="G1" s="13" t="s">
        <v>333</v>
      </c>
      <c r="H1" s="13" t="s">
        <v>334</v>
      </c>
    </row>
    <row r="2" spans="1:8" ht="26.4" x14ac:dyDescent="0.3">
      <c r="A2" s="16" t="s">
        <v>192</v>
      </c>
      <c r="B2" s="16" t="s">
        <v>335</v>
      </c>
      <c r="C2" s="16" t="s">
        <v>336</v>
      </c>
      <c r="D2" s="16" t="s">
        <v>337</v>
      </c>
      <c r="E2" s="23">
        <v>46313</v>
      </c>
      <c r="F2" s="21" t="s">
        <v>338</v>
      </c>
      <c r="G2" s="24">
        <f>IF(E2="","",E2+14)</f>
        <v>46327</v>
      </c>
      <c r="H2" s="16" t="s">
        <v>339</v>
      </c>
    </row>
    <row r="3" spans="1:8" ht="26.4" x14ac:dyDescent="0.3">
      <c r="A3" s="16" t="s">
        <v>340</v>
      </c>
      <c r="B3" s="16" t="s">
        <v>341</v>
      </c>
      <c r="C3" s="16" t="s">
        <v>342</v>
      </c>
      <c r="D3" s="16" t="s">
        <v>343</v>
      </c>
      <c r="E3" s="23">
        <v>46313</v>
      </c>
      <c r="F3" s="21" t="s">
        <v>338</v>
      </c>
      <c r="G3" s="24">
        <f>IF(E3="","",E3+14)</f>
        <v>46327</v>
      </c>
      <c r="H3" s="16" t="s">
        <v>344</v>
      </c>
    </row>
    <row r="4" spans="1:8" ht="26.4" x14ac:dyDescent="0.3">
      <c r="A4" s="16" t="s">
        <v>226</v>
      </c>
      <c r="B4" s="16" t="s">
        <v>345</v>
      </c>
      <c r="C4" s="16" t="s">
        <v>57</v>
      </c>
      <c r="D4" s="16" t="s">
        <v>346</v>
      </c>
      <c r="E4" s="23"/>
      <c r="F4" s="21" t="s">
        <v>347</v>
      </c>
      <c r="G4" s="24" t="str">
        <f>IF(E4="","",E4+14)</f>
        <v/>
      </c>
      <c r="H4" s="16" t="s">
        <v>348</v>
      </c>
    </row>
    <row r="5" spans="1:8" ht="26.4" x14ac:dyDescent="0.3">
      <c r="A5" s="16" t="s">
        <v>233</v>
      </c>
      <c r="B5" s="16" t="s">
        <v>345</v>
      </c>
      <c r="C5" s="16" t="s">
        <v>57</v>
      </c>
      <c r="D5" s="16" t="s">
        <v>349</v>
      </c>
      <c r="E5" s="23"/>
      <c r="F5" s="21" t="s">
        <v>347</v>
      </c>
      <c r="G5" s="24" t="str">
        <f>IF(E5="","",E5+14)</f>
        <v/>
      </c>
      <c r="H5" s="16" t="s">
        <v>348</v>
      </c>
    </row>
    <row r="6" spans="1:8" ht="26.4" x14ac:dyDescent="0.3">
      <c r="A6" s="16" t="s">
        <v>350</v>
      </c>
      <c r="B6" s="16" t="s">
        <v>351</v>
      </c>
      <c r="C6" s="16" t="s">
        <v>352</v>
      </c>
      <c r="D6" s="16" t="s">
        <v>353</v>
      </c>
      <c r="E6" s="23"/>
      <c r="F6" s="21" t="s">
        <v>347</v>
      </c>
      <c r="G6" s="24" t="str">
        <f>IF(E6="","",E6+14)</f>
        <v/>
      </c>
      <c r="H6" s="16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Açıklama</vt:lpstr>
      <vt:lpstr>Veri İhtiyaçları</vt:lpstr>
      <vt:lpstr>Veri Setleri</vt:lpstr>
      <vt:lpstr>İletişim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Kadim</cp:lastModifiedBy>
  <dcterms:created xsi:type="dcterms:W3CDTF">2026-10-18T18:51:24Z</dcterms:created>
  <dcterms:modified xsi:type="dcterms:W3CDTF">2026-10-18T18:51:35Z</dcterms:modified>
</cp:coreProperties>
</file>